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hado\Desktop\site\site\site\site\site\sitepersoLight (1)\sitepersoLight\siteperso\siteperso\siteperso\siteperso-node-main\siteperso-node-main\doc\Veilleur_intelligent\"/>
    </mc:Choice>
  </mc:AlternateContent>
  <bookViews>
    <workbookView xWindow="0" yWindow="0" windowWidth="28800" windowHeight="12210" activeTab="2"/>
  </bookViews>
  <sheets>
    <sheet name="Barème" sheetId="1" r:id="rId1"/>
    <sheet name="1ère STI2D 1" sheetId="2" r:id="rId2"/>
    <sheet name="1ère STI2D 2" sheetId="3" r:id="rId3"/>
  </sheets>
  <definedNames>
    <definedName name="_xlnm._FilterDatabase" localSheetId="1" hidden="1">'1ère STI2D 1'!$A$2:$Y$25</definedName>
    <definedName name="_xlnm._FilterDatabase" localSheetId="2" hidden="1">'1ère STI2D 2'!$A$2:$Y$25</definedName>
  </definedNames>
  <calcPr calcId="162913" calcMode="manual"/>
</workbook>
</file>

<file path=xl/calcChain.xml><?xml version="1.0" encoding="utf-8"?>
<calcChain xmlns="http://schemas.openxmlformats.org/spreadsheetml/2006/main">
  <c r="J25" i="3" l="1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</calcChain>
</file>

<file path=xl/sharedStrings.xml><?xml version="1.0" encoding="utf-8"?>
<sst xmlns="http://schemas.openxmlformats.org/spreadsheetml/2006/main" count="198" uniqueCount="129">
  <si>
    <t>Barème issu des sujets TP1_LED.pdf et TP2_LDR_mesure.pdf</t>
  </si>
  <si>
    <t>TP1 — Allumer une LED avec l'ESP32 (TP1_LED.pdf)</t>
  </si>
  <si>
    <t>Sim. Spice — programme vide ?</t>
  </si>
  <si>
    <t>/1</t>
  </si>
  <si>
    <t>Que faire pour allumer la LED ?</t>
  </si>
  <si>
    <t>Prog. allumer LED (+ photo sim.)</t>
  </si>
  <si>
    <t>/3</t>
  </si>
  <si>
    <t>Prog. clignotement 500 ms (+ photo sim.)</t>
  </si>
  <si>
    <t>/4</t>
  </si>
  <si>
    <t>Photo du câblage / montage</t>
  </si>
  <si>
    <t>Vidéo LED clignote ≈1/s</t>
  </si>
  <si>
    <t>Vidéo délais 200 ms / 1000 ms</t>
  </si>
  <si>
    <t>/2</t>
  </si>
  <si>
    <t>Option inverse LOW/HIGH + conclusion</t>
  </si>
  <si>
    <t>Total TP1</t>
  </si>
  <si>
    <t>/20</t>
  </si>
  <si>
    <t>TP2 — Mesurer la luminosité avec une LDR (TP2_LDR_mesure.pdf)</t>
  </si>
  <si>
    <t>Schéma pont diviseur (E, R1, R2, V)</t>
  </si>
  <si>
    <t>Formule du pont diviseur</t>
  </si>
  <si>
    <t>Si R1=R2, que vaut V ?</t>
  </si>
  <si>
    <t>Signification des lettres LDR</t>
  </si>
  <si>
    <t>Rôle de la LDR dans le projet</t>
  </si>
  <si>
    <t>Que mesure un multimètre ?</t>
  </si>
  <si>
    <t>N décimal/binaire (0 / 1,6 / 3,3 V)</t>
  </si>
  <si>
    <t>Schéma saisi sur Simulateur Spice</t>
  </si>
  <si>
    <t>Tableau mesures 3 situations</t>
  </si>
  <si>
    <t>Vidéo évolution tension / lumière</t>
  </si>
  <si>
    <t>Commenter le programme ligne à ligne</t>
  </si>
  <si>
    <t>ADC/U pour 10000 / 10 / 1 lx</t>
  </si>
  <si>
    <t>Conclusion</t>
  </si>
  <si>
    <t>Total TP2</t>
  </si>
  <si>
    <t>Total général</t>
  </si>
  <si>
    <t>/40</t>
  </si>
  <si>
    <t>Correction assistée d'après les dépôts (texte, code, photos, vidéos). Points photo/vidéo accordés si fichier image/vidéo présent ou lien explicite. À relire / ajuster si besoin.</t>
  </si>
  <si>
    <t>Élève</t>
  </si>
  <si>
    <t>TP1 — LED ESP32 (barème /20 — sujet TP1_LED.pdf)</t>
  </si>
  <si>
    <t>TP2 — LDR &amp; mesure (barème /20 — sujet TP2_LDR_mesure.pdf)</t>
  </si>
  <si>
    <t>Commentaire / correction</t>
  </si>
  <si>
    <t>Sim. Spice — programme vide ?
/1</t>
  </si>
  <si>
    <t>Que faire pour allumer la LED ?
/1</t>
  </si>
  <si>
    <t>Prog. allumer LED (+ photo sim.)
/3</t>
  </si>
  <si>
    <t>Prog. clignotement 500 ms (+ photo sim.)
/4</t>
  </si>
  <si>
    <t>Photo du câblage / montage
/4</t>
  </si>
  <si>
    <t>Vidéo LED clignote ≈1/s
/3</t>
  </si>
  <si>
    <t>Vidéo délais 200 ms / 1000 ms
/2</t>
  </si>
  <si>
    <t>Option inverse LOW/HIGH + conclusion
/2</t>
  </si>
  <si>
    <t>Total TP1
/20</t>
  </si>
  <si>
    <t>Schéma pont diviseur (E, R1, R2, V)
/1</t>
  </si>
  <si>
    <t>Formule du pont diviseur
/1</t>
  </si>
  <si>
    <t>Si R1=R2, que vaut V ?
/2</t>
  </si>
  <si>
    <t>Signification des lettres LDR
/1</t>
  </si>
  <si>
    <t>Rôle de la LDR dans le projet
/1</t>
  </si>
  <si>
    <t>Que mesure un multimètre ?
/1</t>
  </si>
  <si>
    <t>N décimal/binaire (0 / 1,6 / 3,3 V)
/2</t>
  </si>
  <si>
    <t>Schéma saisi sur Simulateur Spice
/1</t>
  </si>
  <si>
    <t>Tableau mesures 3 situations
/3</t>
  </si>
  <si>
    <t>Vidéo évolution tension / lumière
/2</t>
  </si>
  <si>
    <t>Commenter le programme ligne à ligne
/2</t>
  </si>
  <si>
    <t>ADC/U pour 10000 / 10 / 1 lx
/2</t>
  </si>
  <si>
    <t>Conclusion
/1</t>
  </si>
  <si>
    <t>Total TP2
/20</t>
  </si>
  <si>
    <t>ANCENAY Romain</t>
  </si>
  <si>
    <t>TP2 14/20 — source : SIN_TP2 Benoit+Ancenay. Manques : R1=R2 0/2; Rôle LDR 0/1; Spice 0/1; Commenter code 0/2.</t>
  </si>
  <si>
    <t>BENOIT Constance</t>
  </si>
  <si>
    <t>BIENFAIT Noé</t>
  </si>
  <si>
    <t>TP2 : non rendu / non identifiable dans les dépôts analysés.</t>
  </si>
  <si>
    <t>BOUCHER Jules</t>
  </si>
  <si>
    <t>TP2 13/20 — source : Boucher/Tp2.docx. Manques : N déc/bin 1/2; Spice 0/1; Vidéo tension 0/2; Commenter code 0/2; Conclusion 0/1.</t>
  </si>
  <si>
    <t>CAROL Thibaut</t>
  </si>
  <si>
    <t>COCOL Alexis</t>
  </si>
  <si>
    <t>TP2 16/20 — source : TP2 LDR Alexis+Corentin. Manques : R1=R2 0/2; Spice 0/1; Conclusion 0/1.</t>
  </si>
  <si>
    <t>DARMON FONSAGRIVES Jules</t>
  </si>
  <si>
    <t>DE LAMARZERELLE Théophile</t>
  </si>
  <si>
    <t>DIOWO Corentin</t>
  </si>
  <si>
    <t>DUPONT Foucauld</t>
  </si>
  <si>
    <t>HOEFFLER Léo</t>
  </si>
  <si>
    <t>TP2 17/20 — source : TP2 Hoeffler+Wipff. Manques : Spice 0/1; Commenter code 0/2.</t>
  </si>
  <si>
    <t>KOMMEGNE Annaëlle</t>
  </si>
  <si>
    <t>TP2 14/20 — source : KOMMEGNE 2026-10-12.odt. Manques : Signif. LDR 0/1; Spice 0/1; Vidéo tension 0/2; Commenter code 0/2.</t>
  </si>
  <si>
    <t>KUCHLY Lucien</t>
  </si>
  <si>
    <t>TP2 18/20 — source : KUCHLY TP2 + vidéo (binôme Léger). Manques : N déc/bin 1/2; Spice 0/1.</t>
  </si>
  <si>
    <t>LEGER Maxime</t>
  </si>
  <si>
    <t>TP2 18/20 — source : LEGER TP2 + vidéo (binôme Kuchly). Manques : N déc/bin 1/2; Spice 0/1.</t>
  </si>
  <si>
    <t>LOCHEGNIES Jules</t>
  </si>
  <si>
    <t>MEHREZI Nahil</t>
  </si>
  <si>
    <t>TP2 19/20 — source : MEHREZI TP2 + vidéo. Manques : Spice 0/1.</t>
  </si>
  <si>
    <t>MONTERO Pierre</t>
  </si>
  <si>
    <t>MOREAU Antoine</t>
  </si>
  <si>
    <t>TP2 16/20 — source : MOREAU/RESTOUT TP2 (backup). Manques : Rôle LDR 0/1; Spice 0/1; Commenter code 0/2.</t>
  </si>
  <si>
    <t>PROSPERI Flora</t>
  </si>
  <si>
    <t>RESTOUT Raphaël</t>
  </si>
  <si>
    <t>ROUSSEAU Pierre</t>
  </si>
  <si>
    <t>SIMON Arthur</t>
  </si>
  <si>
    <t>WIPFF Hugo</t>
  </si>
  <si>
    <t>BAZIN Francois</t>
  </si>
  <si>
    <t>TP2 18/20 — source : BAZIN+CHEVANNE 13/10. Manques : R1=R2 1/2; Spice 0/1.</t>
  </si>
  <si>
    <t>BODILIS Paul</t>
  </si>
  <si>
    <t>BRAHMI Kalis</t>
  </si>
  <si>
    <t>CHEVANNE-CARENCO Gabriel</t>
  </si>
  <si>
    <t>COJANU Alexandre</t>
  </si>
  <si>
    <t>TP2 16/20 — source : COJANU+MEUDIC 13/10. Manques : Formule 0/1; Multimètre 0/1; Spice 0/1; Conclusion 0/1.</t>
  </si>
  <si>
    <t>D'HOKERS-ALLUSSON Adam</t>
  </si>
  <si>
    <t>TP2 18/20 — source : D'Hokers odt+vidéo 13/10. Manques : R1=R2 1/2; Spice 0/1.</t>
  </si>
  <si>
    <t>FEAUGAS Jean Charles</t>
  </si>
  <si>
    <t>TP2 18/20 — source : binôme D'Hokers (même odt) + vidéo. Manques : R1=R2 1/2; Spice 0/1.</t>
  </si>
  <si>
    <t>FRANCOIS Alban</t>
  </si>
  <si>
    <t>TP2 18/20 — source : Normand_Francois (TP2.docx + vidéo). Manques : Formule 0/1; Spice 0/1.</t>
  </si>
  <si>
    <t>GIRCOURT Mathieu</t>
  </si>
  <si>
    <t>GROULT Grégoire</t>
  </si>
  <si>
    <t>TP2 18/20 — source : GROULT/NOEL zip TP2. Manques : Formule 0/1; Spice 0/1.</t>
  </si>
  <si>
    <t>LEMONDE-SAN Sorya</t>
  </si>
  <si>
    <t>TP2 8/20 — source : Lemonde+François images schéma/sim (relecture visuelle). Manques : Formule 0/1; R1=R2 0/2; Rôle LDR 0/1; Multimètre 0/1; N déc/bin 0/2; Tableau mesures 2/3; Vidéo tension 0/2; Commenter code 0/2.</t>
  </si>
  <si>
    <t>LEYE Mariama</t>
  </si>
  <si>
    <t>TP2 18/20 — source : LEYE 13/10.pdf. Manques : R1=R2 1/2; Spice 0/1.</t>
  </si>
  <si>
    <t>MEUDIC Thomas</t>
  </si>
  <si>
    <t>NOEL Timothée</t>
  </si>
  <si>
    <t>NORMAND Maxime</t>
  </si>
  <si>
    <t>PERE Alban</t>
  </si>
  <si>
    <t>RACHI Marwane</t>
  </si>
  <si>
    <t>TP2 18/20 — source : RACHI 13/10.docx. Manques : Multimètre 0/1; Spice 0/1.</t>
  </si>
  <si>
    <t>RECHE Victor</t>
  </si>
  <si>
    <t>TP2 14/20 — source : RECHE 13/10.pdf. Manques : Signif. LDR 0/1; Rôle LDR 0/1; Multimètre 0/1; Spice 0/1; Commenter code 0/2.</t>
  </si>
  <si>
    <t>RIGAMONTI Clément</t>
  </si>
  <si>
    <t>TP2 18/20 — source : RIGAMONTI 13/10.pdf. Manques : Spice 0/1; Conclusion 0/1.</t>
  </si>
  <si>
    <t>ROHAUT Andréa</t>
  </si>
  <si>
    <t>ROUVEL Gabin</t>
  </si>
  <si>
    <t>VARILLON Amaury</t>
  </si>
  <si>
    <t>TP2 18/20 — source : VARILLON 13/10 zip + vidéo. Manques : R1=R2 1/2; Spice 0/1.</t>
  </si>
  <si>
    <t>VERDYS Maxime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</si>
</sst>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1"/>
      <color rgb="FFC65911"/>
      <name val="Calibri"/>
    </font>
    <font>
      <b/>
      <sz val="11"/>
      <name val="Calibri"/>
    </font>
    <font>
      <b/>
      <sz val="11"/>
      <color rgb="FF2F5496"/>
      <name val="Calibri"/>
    </font>
    <font>
      <b/>
      <sz val="10"/>
      <color rgb="FFFFFFFF"/>
      <name val="Calibri"/>
    </font>
    <font>
      <b/>
      <sz val="8"/>
      <color rgb="FF000000"/>
      <name val="Calibri"/>
    </font>
    <font>
      <b/>
      <sz val="11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5911"/>
      </patternFill>
    </fill>
    <fill>
      <patternFill patternType="solid">
        <fgColor rgb="FFF4B183"/>
      </patternFill>
    </fill>
    <fill>
      <patternFill patternType="solid">
        <fgColor rgb="FF2F5496"/>
      </patternFill>
    </fill>
    <fill>
      <patternFill patternType="solid">
        <fgColor rgb="FF8FAADC"/>
      </patternFill>
    </fill>
    <fill>
      <patternFill patternType="solid">
        <fgColor rgb="FF595959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4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0" borderId="0" xfId="0"/>
    <xf numFmtId="0" fontId="5" fillId="5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0" fillId="0" borderId="0" xfId="0"/>
    <xf numFmtId="0" fontId="5" fillId="7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/>
  </sheetViews>
  <sheetFormatPr baseColWidth="10" defaultColWidth="9.140625" defaultRowHeight="15" x14ac:dyDescent="0.25"/>
  <cols>
    <col min="1" max="1" width="60" style="8" customWidth="1"/>
    <col min="2" max="2" width="10" style="8" customWidth="1"/>
  </cols>
  <sheetData>
    <row r="1" spans="1:2" ht="18.75" customHeight="1" x14ac:dyDescent="0.3">
      <c r="A1" s="1" t="s">
        <v>0</v>
      </c>
    </row>
    <row r="3" spans="1:2" x14ac:dyDescent="0.25">
      <c r="A3" s="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3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8</v>
      </c>
    </row>
    <row r="9" spans="1:2" x14ac:dyDescent="0.25">
      <c r="A9" t="s">
        <v>10</v>
      </c>
      <c r="B9" t="s">
        <v>6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12</v>
      </c>
    </row>
    <row r="12" spans="1:2" x14ac:dyDescent="0.25">
      <c r="A12" s="3" t="s">
        <v>14</v>
      </c>
      <c r="B12" t="s">
        <v>15</v>
      </c>
    </row>
    <row r="14" spans="1:2" x14ac:dyDescent="0.25">
      <c r="A14" s="4" t="s">
        <v>16</v>
      </c>
    </row>
    <row r="15" spans="1:2" x14ac:dyDescent="0.25">
      <c r="A15" t="s">
        <v>17</v>
      </c>
      <c r="B15" t="s">
        <v>3</v>
      </c>
    </row>
    <row r="16" spans="1:2" x14ac:dyDescent="0.25">
      <c r="A16" t="s">
        <v>18</v>
      </c>
      <c r="B16" t="s">
        <v>3</v>
      </c>
    </row>
    <row r="17" spans="1:2" x14ac:dyDescent="0.25">
      <c r="A17" t="s">
        <v>19</v>
      </c>
      <c r="B17" t="s">
        <v>12</v>
      </c>
    </row>
    <row r="18" spans="1:2" x14ac:dyDescent="0.25">
      <c r="A18" t="s">
        <v>20</v>
      </c>
      <c r="B18" t="s">
        <v>3</v>
      </c>
    </row>
    <row r="19" spans="1:2" x14ac:dyDescent="0.25">
      <c r="A19" t="s">
        <v>21</v>
      </c>
      <c r="B19" t="s">
        <v>3</v>
      </c>
    </row>
    <row r="20" spans="1:2" x14ac:dyDescent="0.25">
      <c r="A20" t="s">
        <v>22</v>
      </c>
      <c r="B20" t="s">
        <v>3</v>
      </c>
    </row>
    <row r="21" spans="1:2" x14ac:dyDescent="0.25">
      <c r="A21" t="s">
        <v>23</v>
      </c>
      <c r="B21" t="s">
        <v>12</v>
      </c>
    </row>
    <row r="22" spans="1:2" x14ac:dyDescent="0.25">
      <c r="A22" t="s">
        <v>24</v>
      </c>
      <c r="B22" t="s">
        <v>3</v>
      </c>
    </row>
    <row r="23" spans="1:2" x14ac:dyDescent="0.25">
      <c r="A23" t="s">
        <v>25</v>
      </c>
      <c r="B23" t="s">
        <v>6</v>
      </c>
    </row>
    <row r="24" spans="1:2" x14ac:dyDescent="0.25">
      <c r="A24" t="s">
        <v>26</v>
      </c>
      <c r="B24" t="s">
        <v>12</v>
      </c>
    </row>
    <row r="25" spans="1:2" x14ac:dyDescent="0.25">
      <c r="A25" t="s">
        <v>27</v>
      </c>
      <c r="B25" t="s">
        <v>12</v>
      </c>
    </row>
    <row r="26" spans="1:2" x14ac:dyDescent="0.25">
      <c r="A26" t="s">
        <v>28</v>
      </c>
      <c r="B26" t="s">
        <v>12</v>
      </c>
    </row>
    <row r="27" spans="1:2" x14ac:dyDescent="0.25">
      <c r="A27" t="s">
        <v>29</v>
      </c>
      <c r="B27" t="s">
        <v>3</v>
      </c>
    </row>
    <row r="28" spans="1:2" x14ac:dyDescent="0.25">
      <c r="A28" s="3" t="s">
        <v>30</v>
      </c>
      <c r="B28" t="s">
        <v>15</v>
      </c>
    </row>
    <row r="30" spans="1:2" x14ac:dyDescent="0.25">
      <c r="A30" s="3" t="s">
        <v>31</v>
      </c>
      <c r="B30" t="s">
        <v>32</v>
      </c>
    </row>
    <row r="32" spans="1:2" x14ac:dyDescent="0.25">
      <c r="A3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Views>
    <sheetView workbookViewId="0">
      <pane xSplit="1" ySplit="2" topLeftCell="B3" activePane="bottomRight" state="frozen"/>
      <selection activeCell="X3" sqref="X3"/>
      <selection pane="topRight" activeCell="X3" sqref="X3"/>
      <selection pane="bottomLeft" activeCell="X3" sqref="X3"/>
      <selection pane="bottomRight" activeCell="Y6" sqref="A6:Y6"/>
    </sheetView>
  </sheetViews>
  <sheetFormatPr baseColWidth="10" defaultColWidth="9.140625" defaultRowHeight="15" x14ac:dyDescent="0.25"/>
  <cols>
    <col min="1" max="1" width="28" style="8" customWidth="1"/>
    <col min="2" max="24" width="14" style="8" customWidth="1"/>
    <col min="25" max="25" width="134.7109375" style="8" customWidth="1"/>
  </cols>
  <sheetData>
    <row r="1" spans="1:25" ht="21.95" customHeight="1" x14ac:dyDescent="0.25">
      <c r="A1" s="21" t="s">
        <v>34</v>
      </c>
      <c r="B1" s="17" t="s">
        <v>35</v>
      </c>
      <c r="C1" s="18"/>
      <c r="D1" s="18"/>
      <c r="E1" s="18"/>
      <c r="F1" s="18"/>
      <c r="G1" s="18"/>
      <c r="H1" s="18"/>
      <c r="I1" s="18"/>
      <c r="J1" s="18"/>
      <c r="K1" s="20" t="s">
        <v>36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9" t="s">
        <v>37</v>
      </c>
    </row>
    <row r="2" spans="1:25" ht="54.95" customHeight="1" x14ac:dyDescent="0.25">
      <c r="A2" s="18"/>
      <c r="B2" s="5" t="s">
        <v>38</v>
      </c>
      <c r="C2" s="5" t="s">
        <v>39</v>
      </c>
      <c r="D2" s="5" t="s">
        <v>40</v>
      </c>
      <c r="E2" s="5" t="s">
        <v>41</v>
      </c>
      <c r="F2" s="5" t="s">
        <v>42</v>
      </c>
      <c r="G2" s="5" t="s">
        <v>43</v>
      </c>
      <c r="H2" s="5" t="s">
        <v>44</v>
      </c>
      <c r="I2" s="5" t="s">
        <v>45</v>
      </c>
      <c r="J2" s="7" t="s">
        <v>46</v>
      </c>
      <c r="K2" s="6" t="s">
        <v>47</v>
      </c>
      <c r="L2" s="6" t="s">
        <v>48</v>
      </c>
      <c r="M2" s="6" t="s">
        <v>49</v>
      </c>
      <c r="N2" s="6" t="s">
        <v>50</v>
      </c>
      <c r="O2" s="6" t="s">
        <v>51</v>
      </c>
      <c r="P2" s="6" t="s">
        <v>52</v>
      </c>
      <c r="Q2" s="6" t="s">
        <v>53</v>
      </c>
      <c r="R2" s="6" t="s">
        <v>54</v>
      </c>
      <c r="S2" s="6" t="s">
        <v>55</v>
      </c>
      <c r="T2" s="6" t="s">
        <v>56</v>
      </c>
      <c r="U2" s="6" t="s">
        <v>57</v>
      </c>
      <c r="V2" s="6" t="s">
        <v>58</v>
      </c>
      <c r="W2" s="6" t="s">
        <v>59</v>
      </c>
      <c r="X2" s="9" t="s">
        <v>60</v>
      </c>
      <c r="Y2" s="18"/>
    </row>
    <row r="3" spans="1:25" x14ac:dyDescent="0.25">
      <c r="A3" s="10" t="s">
        <v>61</v>
      </c>
      <c r="B3" s="10">
        <v>1</v>
      </c>
      <c r="C3" s="10">
        <v>0</v>
      </c>
      <c r="D3" s="10">
        <v>3</v>
      </c>
      <c r="E3" s="10">
        <v>2</v>
      </c>
      <c r="F3" s="10">
        <v>4</v>
      </c>
      <c r="G3" s="10">
        <v>3</v>
      </c>
      <c r="H3" s="10">
        <v>2</v>
      </c>
      <c r="I3" s="10">
        <v>2</v>
      </c>
      <c r="J3" s="11">
        <v>17</v>
      </c>
      <c r="K3" s="10">
        <v>1</v>
      </c>
      <c r="L3" s="10">
        <v>1</v>
      </c>
      <c r="M3" s="10">
        <v>0</v>
      </c>
      <c r="N3" s="10">
        <v>1</v>
      </c>
      <c r="O3" s="10">
        <v>0</v>
      </c>
      <c r="P3" s="10">
        <v>1</v>
      </c>
      <c r="Q3" s="10">
        <v>2</v>
      </c>
      <c r="R3" s="10">
        <v>0</v>
      </c>
      <c r="S3" s="10">
        <v>3</v>
      </c>
      <c r="T3" s="10">
        <v>2</v>
      </c>
      <c r="U3" s="10">
        <v>0</v>
      </c>
      <c r="V3" s="10">
        <v>2</v>
      </c>
      <c r="W3" s="10">
        <v>1</v>
      </c>
      <c r="X3" s="12">
        <v>14</v>
      </c>
      <c r="Y3" s="14" t="s">
        <v>62</v>
      </c>
    </row>
    <row r="4" spans="1:25" x14ac:dyDescent="0.25">
      <c r="A4" s="10" t="s">
        <v>63</v>
      </c>
      <c r="B4" s="10">
        <v>1</v>
      </c>
      <c r="C4" s="10">
        <v>0</v>
      </c>
      <c r="D4" s="10">
        <v>3</v>
      </c>
      <c r="E4" s="10">
        <v>2</v>
      </c>
      <c r="F4" s="10">
        <v>4</v>
      </c>
      <c r="G4" s="10">
        <v>3</v>
      </c>
      <c r="H4" s="10">
        <v>2</v>
      </c>
      <c r="I4" s="10">
        <v>2</v>
      </c>
      <c r="J4" s="11">
        <v>17</v>
      </c>
      <c r="K4" s="10">
        <v>1</v>
      </c>
      <c r="L4" s="10">
        <v>1</v>
      </c>
      <c r="M4" s="10">
        <v>0</v>
      </c>
      <c r="N4" s="10">
        <v>1</v>
      </c>
      <c r="O4" s="10">
        <v>0</v>
      </c>
      <c r="P4" s="10">
        <v>1</v>
      </c>
      <c r="Q4" s="10">
        <v>2</v>
      </c>
      <c r="R4" s="10">
        <v>0</v>
      </c>
      <c r="S4" s="10">
        <v>3</v>
      </c>
      <c r="T4" s="10">
        <v>2</v>
      </c>
      <c r="U4" s="10">
        <v>0</v>
      </c>
      <c r="V4" s="10">
        <v>2</v>
      </c>
      <c r="W4" s="10">
        <v>1</v>
      </c>
      <c r="X4" s="12">
        <v>14</v>
      </c>
      <c r="Y4" s="14" t="s">
        <v>62</v>
      </c>
    </row>
    <row r="5" spans="1:25" x14ac:dyDescent="0.25">
      <c r="A5" s="10" t="s">
        <v>64</v>
      </c>
      <c r="B5" s="10">
        <v>1</v>
      </c>
      <c r="C5" s="10">
        <v>1</v>
      </c>
      <c r="D5" s="10">
        <v>3</v>
      </c>
      <c r="E5" s="10">
        <v>4</v>
      </c>
      <c r="F5" s="10">
        <v>4</v>
      </c>
      <c r="G5" s="10">
        <v>3</v>
      </c>
      <c r="H5" s="10">
        <v>2</v>
      </c>
      <c r="I5" s="10">
        <v>2</v>
      </c>
      <c r="J5" s="11">
        <v>20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1"/>
      <c r="Y5" s="10" t="s">
        <v>65</v>
      </c>
    </row>
    <row r="6" spans="1:25" ht="18" customHeight="1" x14ac:dyDescent="0.25">
      <c r="A6" s="10" t="s">
        <v>66</v>
      </c>
      <c r="B6" s="10">
        <v>1</v>
      </c>
      <c r="C6" s="10">
        <v>0</v>
      </c>
      <c r="D6" s="10">
        <v>3</v>
      </c>
      <c r="E6" s="10">
        <v>0</v>
      </c>
      <c r="F6" s="10">
        <v>4</v>
      </c>
      <c r="G6" s="10">
        <v>3</v>
      </c>
      <c r="H6" s="10">
        <v>2</v>
      </c>
      <c r="I6" s="10">
        <v>2</v>
      </c>
      <c r="J6" s="11">
        <v>15</v>
      </c>
      <c r="K6" s="10">
        <v>1</v>
      </c>
      <c r="L6" s="10">
        <v>1</v>
      </c>
      <c r="M6" s="10">
        <v>2</v>
      </c>
      <c r="N6" s="10">
        <v>1</v>
      </c>
      <c r="O6" s="10">
        <v>1</v>
      </c>
      <c r="P6" s="10">
        <v>1</v>
      </c>
      <c r="Q6" s="10">
        <v>1</v>
      </c>
      <c r="R6" s="10">
        <v>0</v>
      </c>
      <c r="S6" s="10">
        <v>3</v>
      </c>
      <c r="T6" s="10">
        <v>0</v>
      </c>
      <c r="U6" s="10">
        <v>0</v>
      </c>
      <c r="V6" s="10">
        <v>2</v>
      </c>
      <c r="W6" s="10">
        <v>0</v>
      </c>
      <c r="X6" s="12">
        <v>13</v>
      </c>
      <c r="Y6" s="14" t="s">
        <v>67</v>
      </c>
    </row>
    <row r="7" spans="1:25" x14ac:dyDescent="0.25">
      <c r="A7" s="10" t="s">
        <v>68</v>
      </c>
      <c r="B7" s="10">
        <v>0</v>
      </c>
      <c r="C7" s="10">
        <v>1</v>
      </c>
      <c r="D7" s="10">
        <v>3</v>
      </c>
      <c r="E7" s="10">
        <v>4</v>
      </c>
      <c r="F7" s="10">
        <v>4</v>
      </c>
      <c r="G7" s="10">
        <v>3</v>
      </c>
      <c r="H7" s="10">
        <v>2</v>
      </c>
      <c r="I7" s="10">
        <v>2</v>
      </c>
      <c r="J7" s="11">
        <v>19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1"/>
      <c r="Y7" s="10" t="s">
        <v>65</v>
      </c>
    </row>
    <row r="8" spans="1:25" x14ac:dyDescent="0.25">
      <c r="A8" s="10" t="s">
        <v>69</v>
      </c>
      <c r="B8" s="10">
        <v>1</v>
      </c>
      <c r="C8" s="10">
        <v>1</v>
      </c>
      <c r="D8" s="10">
        <v>3</v>
      </c>
      <c r="E8" s="10">
        <v>4</v>
      </c>
      <c r="F8" s="10">
        <v>4</v>
      </c>
      <c r="G8" s="10">
        <v>3</v>
      </c>
      <c r="H8" s="10">
        <v>2</v>
      </c>
      <c r="I8" s="10">
        <v>2</v>
      </c>
      <c r="J8" s="11">
        <v>20</v>
      </c>
      <c r="K8" s="10">
        <v>1</v>
      </c>
      <c r="L8" s="10">
        <v>1</v>
      </c>
      <c r="M8" s="10">
        <v>0</v>
      </c>
      <c r="N8" s="10">
        <v>1</v>
      </c>
      <c r="O8" s="10">
        <v>1</v>
      </c>
      <c r="P8" s="10">
        <v>1</v>
      </c>
      <c r="Q8" s="10">
        <v>2</v>
      </c>
      <c r="R8" s="10">
        <v>0</v>
      </c>
      <c r="S8" s="10">
        <v>3</v>
      </c>
      <c r="T8" s="10">
        <v>2</v>
      </c>
      <c r="U8" s="10">
        <v>2</v>
      </c>
      <c r="V8" s="10">
        <v>2</v>
      </c>
      <c r="W8" s="10">
        <v>0</v>
      </c>
      <c r="X8" s="12">
        <v>16</v>
      </c>
      <c r="Y8" s="14" t="s">
        <v>70</v>
      </c>
    </row>
    <row r="9" spans="1:25" x14ac:dyDescent="0.25">
      <c r="A9" s="10" t="s">
        <v>71</v>
      </c>
      <c r="B9" s="10">
        <v>1</v>
      </c>
      <c r="C9" s="10">
        <v>0</v>
      </c>
      <c r="D9" s="10">
        <v>3</v>
      </c>
      <c r="E9" s="10">
        <v>0</v>
      </c>
      <c r="F9" s="10">
        <v>4</v>
      </c>
      <c r="G9" s="10">
        <v>3</v>
      </c>
      <c r="H9" s="10">
        <v>2</v>
      </c>
      <c r="I9" s="10">
        <v>2</v>
      </c>
      <c r="J9" s="11">
        <v>15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1"/>
      <c r="Y9" s="10" t="s">
        <v>65</v>
      </c>
    </row>
    <row r="10" spans="1:25" x14ac:dyDescent="0.25">
      <c r="A10" s="16" t="s">
        <v>72</v>
      </c>
      <c r="B10" s="10"/>
      <c r="C10" s="10"/>
      <c r="D10" s="10"/>
      <c r="E10" s="10"/>
      <c r="F10" s="10"/>
      <c r="G10" s="10"/>
      <c r="H10" s="10"/>
      <c r="I10" s="10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1"/>
      <c r="Y10" s="10" t="s">
        <v>65</v>
      </c>
    </row>
    <row r="11" spans="1:25" x14ac:dyDescent="0.25">
      <c r="A11" s="10" t="s">
        <v>73</v>
      </c>
      <c r="B11" s="10">
        <v>1</v>
      </c>
      <c r="C11" s="10">
        <v>1</v>
      </c>
      <c r="D11" s="10">
        <v>3</v>
      </c>
      <c r="E11" s="10">
        <v>4</v>
      </c>
      <c r="F11" s="10">
        <v>4</v>
      </c>
      <c r="G11" s="10">
        <v>3</v>
      </c>
      <c r="H11" s="10">
        <v>2</v>
      </c>
      <c r="I11" s="10">
        <v>2</v>
      </c>
      <c r="J11" s="11">
        <v>20</v>
      </c>
      <c r="K11" s="10">
        <v>1</v>
      </c>
      <c r="L11" s="10">
        <v>1</v>
      </c>
      <c r="M11" s="10">
        <v>0</v>
      </c>
      <c r="N11" s="10">
        <v>1</v>
      </c>
      <c r="O11" s="10">
        <v>1</v>
      </c>
      <c r="P11" s="10">
        <v>1</v>
      </c>
      <c r="Q11" s="10">
        <v>2</v>
      </c>
      <c r="R11" s="10">
        <v>0</v>
      </c>
      <c r="S11" s="10">
        <v>3</v>
      </c>
      <c r="T11" s="10">
        <v>2</v>
      </c>
      <c r="U11" s="10">
        <v>2</v>
      </c>
      <c r="V11" s="10">
        <v>2</v>
      </c>
      <c r="W11" s="10">
        <v>0</v>
      </c>
      <c r="X11" s="12">
        <v>16</v>
      </c>
      <c r="Y11" s="14" t="s">
        <v>70</v>
      </c>
    </row>
    <row r="12" spans="1:25" x14ac:dyDescent="0.25">
      <c r="A12" s="10" t="s">
        <v>74</v>
      </c>
      <c r="B12" s="10">
        <v>1</v>
      </c>
      <c r="C12" s="10">
        <v>1</v>
      </c>
      <c r="D12" s="10">
        <v>3</v>
      </c>
      <c r="E12" s="10">
        <v>4</v>
      </c>
      <c r="F12" s="10">
        <v>4</v>
      </c>
      <c r="G12" s="10">
        <v>3</v>
      </c>
      <c r="H12" s="10">
        <v>2</v>
      </c>
      <c r="I12" s="10">
        <v>2</v>
      </c>
      <c r="J12" s="11">
        <v>20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1"/>
      <c r="Y12" s="10" t="s">
        <v>65</v>
      </c>
    </row>
    <row r="13" spans="1:25" x14ac:dyDescent="0.25">
      <c r="A13" s="10" t="s">
        <v>75</v>
      </c>
      <c r="B13" s="10">
        <v>1</v>
      </c>
      <c r="C13" s="10">
        <v>1</v>
      </c>
      <c r="D13" s="10">
        <v>3</v>
      </c>
      <c r="E13" s="10">
        <v>4</v>
      </c>
      <c r="F13" s="10">
        <v>4</v>
      </c>
      <c r="G13" s="10">
        <v>3</v>
      </c>
      <c r="H13" s="10">
        <v>2</v>
      </c>
      <c r="I13" s="10">
        <v>2</v>
      </c>
      <c r="J13" s="11">
        <v>20</v>
      </c>
      <c r="K13" s="10">
        <v>1</v>
      </c>
      <c r="L13" s="10">
        <v>1</v>
      </c>
      <c r="M13" s="10">
        <v>2</v>
      </c>
      <c r="N13" s="10">
        <v>1</v>
      </c>
      <c r="O13" s="10">
        <v>1</v>
      </c>
      <c r="P13" s="10">
        <v>1</v>
      </c>
      <c r="Q13" s="10">
        <v>2</v>
      </c>
      <c r="R13" s="10">
        <v>0</v>
      </c>
      <c r="S13" s="10">
        <v>3</v>
      </c>
      <c r="T13" s="10">
        <v>2</v>
      </c>
      <c r="U13" s="10">
        <v>0</v>
      </c>
      <c r="V13" s="10">
        <v>2</v>
      </c>
      <c r="W13" s="10">
        <v>1</v>
      </c>
      <c r="X13" s="12">
        <v>17</v>
      </c>
      <c r="Y13" s="14" t="s">
        <v>76</v>
      </c>
    </row>
    <row r="14" spans="1:25" ht="19.5" customHeight="1" x14ac:dyDescent="0.25">
      <c r="A14" s="10" t="s">
        <v>77</v>
      </c>
      <c r="B14" s="10">
        <v>1</v>
      </c>
      <c r="C14" s="10">
        <v>1</v>
      </c>
      <c r="D14" s="10">
        <v>3</v>
      </c>
      <c r="E14" s="10">
        <v>4</v>
      </c>
      <c r="F14" s="10">
        <v>4</v>
      </c>
      <c r="G14" s="10">
        <v>0</v>
      </c>
      <c r="H14" s="10">
        <v>0</v>
      </c>
      <c r="I14" s="10">
        <v>0</v>
      </c>
      <c r="J14" s="11">
        <v>13</v>
      </c>
      <c r="K14" s="10">
        <v>1</v>
      </c>
      <c r="L14" s="10">
        <v>1</v>
      </c>
      <c r="M14" s="10">
        <v>2</v>
      </c>
      <c r="N14" s="10">
        <v>0</v>
      </c>
      <c r="O14" s="10">
        <v>1</v>
      </c>
      <c r="P14" s="10">
        <v>1</v>
      </c>
      <c r="Q14" s="10">
        <v>2</v>
      </c>
      <c r="R14" s="10">
        <v>0</v>
      </c>
      <c r="S14" s="10">
        <v>3</v>
      </c>
      <c r="T14" s="10">
        <v>0</v>
      </c>
      <c r="U14" s="10">
        <v>0</v>
      </c>
      <c r="V14" s="10">
        <v>2</v>
      </c>
      <c r="W14" s="10">
        <v>1</v>
      </c>
      <c r="X14" s="12">
        <v>14</v>
      </c>
      <c r="Y14" s="13" t="s">
        <v>78</v>
      </c>
    </row>
    <row r="15" spans="1:25" x14ac:dyDescent="0.25">
      <c r="A15" s="10" t="s">
        <v>79</v>
      </c>
      <c r="B15" s="10">
        <v>1</v>
      </c>
      <c r="C15" s="10">
        <v>1</v>
      </c>
      <c r="D15" s="10">
        <v>0</v>
      </c>
      <c r="E15" s="10">
        <v>0</v>
      </c>
      <c r="F15" s="10">
        <v>4</v>
      </c>
      <c r="G15" s="10">
        <v>3</v>
      </c>
      <c r="H15" s="10">
        <v>2</v>
      </c>
      <c r="I15" s="10">
        <v>0</v>
      </c>
      <c r="J15" s="11">
        <v>11</v>
      </c>
      <c r="K15" s="10">
        <v>1</v>
      </c>
      <c r="L15" s="10">
        <v>1</v>
      </c>
      <c r="M15" s="10">
        <v>2</v>
      </c>
      <c r="N15" s="10">
        <v>1</v>
      </c>
      <c r="O15" s="10">
        <v>1</v>
      </c>
      <c r="P15" s="10">
        <v>1</v>
      </c>
      <c r="Q15" s="10">
        <v>1</v>
      </c>
      <c r="R15" s="10">
        <v>0</v>
      </c>
      <c r="S15" s="10">
        <v>3</v>
      </c>
      <c r="T15" s="10">
        <v>2</v>
      </c>
      <c r="U15" s="10">
        <v>2</v>
      </c>
      <c r="V15" s="10">
        <v>2</v>
      </c>
      <c r="W15" s="10">
        <v>1</v>
      </c>
      <c r="X15" s="12">
        <v>18</v>
      </c>
      <c r="Y15" s="13" t="s">
        <v>80</v>
      </c>
    </row>
    <row r="16" spans="1:25" x14ac:dyDescent="0.25">
      <c r="A16" s="16" t="s">
        <v>81</v>
      </c>
      <c r="B16" s="10"/>
      <c r="C16" s="10"/>
      <c r="D16" s="10"/>
      <c r="E16" s="10"/>
      <c r="F16" s="10"/>
      <c r="G16" s="10"/>
      <c r="H16" s="10"/>
      <c r="I16" s="10"/>
      <c r="J16" s="11"/>
      <c r="K16" s="10">
        <v>1</v>
      </c>
      <c r="L16" s="10">
        <v>1</v>
      </c>
      <c r="M16" s="10">
        <v>2</v>
      </c>
      <c r="N16" s="10">
        <v>1</v>
      </c>
      <c r="O16" s="10">
        <v>1</v>
      </c>
      <c r="P16" s="10">
        <v>1</v>
      </c>
      <c r="Q16" s="10">
        <v>1</v>
      </c>
      <c r="R16" s="10">
        <v>0</v>
      </c>
      <c r="S16" s="10">
        <v>3</v>
      </c>
      <c r="T16" s="10">
        <v>2</v>
      </c>
      <c r="U16" s="10">
        <v>2</v>
      </c>
      <c r="V16" s="10">
        <v>2</v>
      </c>
      <c r="W16" s="10">
        <v>1</v>
      </c>
      <c r="X16" s="12">
        <v>18</v>
      </c>
      <c r="Y16" s="13" t="s">
        <v>82</v>
      </c>
    </row>
    <row r="17" spans="1:25" x14ac:dyDescent="0.25">
      <c r="A17" s="16" t="s">
        <v>83</v>
      </c>
      <c r="B17" s="10"/>
      <c r="C17" s="10"/>
      <c r="D17" s="10"/>
      <c r="E17" s="10"/>
      <c r="F17" s="10"/>
      <c r="G17" s="10"/>
      <c r="H17" s="10"/>
      <c r="I17" s="10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1"/>
      <c r="Y17" s="10" t="s">
        <v>65</v>
      </c>
    </row>
    <row r="18" spans="1:25" x14ac:dyDescent="0.25">
      <c r="A18" s="10" t="s">
        <v>84</v>
      </c>
      <c r="B18" s="10">
        <v>1</v>
      </c>
      <c r="C18" s="10">
        <v>1</v>
      </c>
      <c r="D18" s="10">
        <v>3</v>
      </c>
      <c r="E18" s="10">
        <v>4</v>
      </c>
      <c r="F18" s="10">
        <v>4</v>
      </c>
      <c r="G18" s="10">
        <v>3</v>
      </c>
      <c r="H18" s="10">
        <v>2</v>
      </c>
      <c r="I18" s="10">
        <v>2</v>
      </c>
      <c r="J18" s="11">
        <v>20</v>
      </c>
      <c r="K18" s="10">
        <v>1</v>
      </c>
      <c r="L18" s="10">
        <v>1</v>
      </c>
      <c r="M18" s="10">
        <v>2</v>
      </c>
      <c r="N18" s="10">
        <v>1</v>
      </c>
      <c r="O18" s="10">
        <v>1</v>
      </c>
      <c r="P18" s="10">
        <v>1</v>
      </c>
      <c r="Q18" s="10">
        <v>2</v>
      </c>
      <c r="R18" s="10">
        <v>0</v>
      </c>
      <c r="S18" s="10">
        <v>3</v>
      </c>
      <c r="T18" s="10">
        <v>2</v>
      </c>
      <c r="U18" s="10">
        <v>2</v>
      </c>
      <c r="V18" s="10">
        <v>2</v>
      </c>
      <c r="W18" s="10">
        <v>1</v>
      </c>
      <c r="X18" s="12">
        <v>19</v>
      </c>
      <c r="Y18" s="13" t="s">
        <v>85</v>
      </c>
    </row>
    <row r="19" spans="1:25" x14ac:dyDescent="0.25">
      <c r="A19" s="10" t="s">
        <v>86</v>
      </c>
      <c r="B19" s="10">
        <v>0</v>
      </c>
      <c r="C19" s="10">
        <v>1</v>
      </c>
      <c r="D19" s="10">
        <v>3</v>
      </c>
      <c r="E19" s="10">
        <v>3</v>
      </c>
      <c r="F19" s="10">
        <v>0</v>
      </c>
      <c r="G19" s="10">
        <v>3</v>
      </c>
      <c r="H19" s="10">
        <v>2</v>
      </c>
      <c r="I19" s="10">
        <v>2</v>
      </c>
      <c r="J19" s="11">
        <v>14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1"/>
      <c r="Y19" s="10" t="s">
        <v>65</v>
      </c>
    </row>
    <row r="20" spans="1:25" x14ac:dyDescent="0.25">
      <c r="A20" s="10" t="s">
        <v>87</v>
      </c>
      <c r="B20" s="10">
        <v>1</v>
      </c>
      <c r="C20" s="10">
        <v>1</v>
      </c>
      <c r="D20" s="10">
        <v>3</v>
      </c>
      <c r="E20" s="10">
        <v>4</v>
      </c>
      <c r="F20" s="10">
        <v>4</v>
      </c>
      <c r="G20" s="10">
        <v>3</v>
      </c>
      <c r="H20" s="10">
        <v>2</v>
      </c>
      <c r="I20" s="10">
        <v>2</v>
      </c>
      <c r="J20" s="11">
        <v>20</v>
      </c>
      <c r="K20" s="10">
        <v>1</v>
      </c>
      <c r="L20" s="10">
        <v>1</v>
      </c>
      <c r="M20" s="10">
        <v>2</v>
      </c>
      <c r="N20" s="10">
        <v>1</v>
      </c>
      <c r="O20" s="10">
        <v>0</v>
      </c>
      <c r="P20" s="10">
        <v>1</v>
      </c>
      <c r="Q20" s="10">
        <v>2</v>
      </c>
      <c r="R20" s="10">
        <v>0</v>
      </c>
      <c r="S20" s="10">
        <v>3</v>
      </c>
      <c r="T20" s="10">
        <v>2</v>
      </c>
      <c r="U20" s="10">
        <v>0</v>
      </c>
      <c r="V20" s="10">
        <v>2</v>
      </c>
      <c r="W20" s="10">
        <v>1</v>
      </c>
      <c r="X20" s="12">
        <v>16</v>
      </c>
      <c r="Y20" s="13" t="s">
        <v>88</v>
      </c>
    </row>
    <row r="21" spans="1:25" x14ac:dyDescent="0.25">
      <c r="A21" s="10" t="s">
        <v>89</v>
      </c>
      <c r="B21" s="10">
        <v>1</v>
      </c>
      <c r="C21" s="10">
        <v>1</v>
      </c>
      <c r="D21" s="10">
        <v>3</v>
      </c>
      <c r="E21" s="10">
        <v>4</v>
      </c>
      <c r="F21" s="10">
        <v>4</v>
      </c>
      <c r="G21" s="10">
        <v>0</v>
      </c>
      <c r="H21" s="10">
        <v>0</v>
      </c>
      <c r="I21" s="10">
        <v>0</v>
      </c>
      <c r="J21" s="11">
        <v>13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1"/>
      <c r="Y21" s="10" t="s">
        <v>65</v>
      </c>
    </row>
    <row r="22" spans="1:25" x14ac:dyDescent="0.25">
      <c r="A22" s="10" t="s">
        <v>90</v>
      </c>
      <c r="B22" s="10">
        <v>1</v>
      </c>
      <c r="C22" s="10">
        <v>1</v>
      </c>
      <c r="D22" s="10">
        <v>3</v>
      </c>
      <c r="E22" s="10">
        <v>4</v>
      </c>
      <c r="F22" s="10">
        <v>4</v>
      </c>
      <c r="G22" s="10">
        <v>3</v>
      </c>
      <c r="H22" s="10">
        <v>2</v>
      </c>
      <c r="I22" s="10">
        <v>2</v>
      </c>
      <c r="J22" s="11">
        <v>20</v>
      </c>
      <c r="K22" s="10">
        <v>1</v>
      </c>
      <c r="L22" s="10">
        <v>1</v>
      </c>
      <c r="M22" s="10">
        <v>2</v>
      </c>
      <c r="N22" s="10">
        <v>1</v>
      </c>
      <c r="O22" s="10">
        <v>0</v>
      </c>
      <c r="P22" s="10">
        <v>1</v>
      </c>
      <c r="Q22" s="10">
        <v>2</v>
      </c>
      <c r="R22" s="10">
        <v>0</v>
      </c>
      <c r="S22" s="10">
        <v>3</v>
      </c>
      <c r="T22" s="10">
        <v>2</v>
      </c>
      <c r="U22" s="10">
        <v>0</v>
      </c>
      <c r="V22" s="10">
        <v>2</v>
      </c>
      <c r="W22" s="10">
        <v>1</v>
      </c>
      <c r="X22" s="12">
        <v>16</v>
      </c>
      <c r="Y22" s="13" t="s">
        <v>88</v>
      </c>
    </row>
    <row r="23" spans="1:25" x14ac:dyDescent="0.25">
      <c r="A23" s="16" t="s">
        <v>91</v>
      </c>
      <c r="B23" s="10">
        <v>0</v>
      </c>
      <c r="C23" s="10">
        <v>1</v>
      </c>
      <c r="D23" s="10">
        <v>3</v>
      </c>
      <c r="E23" s="10">
        <v>3</v>
      </c>
      <c r="F23" s="10">
        <v>0</v>
      </c>
      <c r="G23" s="10">
        <v>3</v>
      </c>
      <c r="H23" s="10">
        <v>2</v>
      </c>
      <c r="I23" s="10">
        <v>2</v>
      </c>
      <c r="J23" s="11">
        <v>14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1"/>
      <c r="Y23" s="10" t="s">
        <v>65</v>
      </c>
    </row>
    <row r="24" spans="1:25" x14ac:dyDescent="0.25">
      <c r="A24" s="16" t="s">
        <v>92</v>
      </c>
      <c r="B24" s="10"/>
      <c r="C24" s="10"/>
      <c r="D24" s="10"/>
      <c r="E24" s="10"/>
      <c r="F24" s="10"/>
      <c r="G24" s="10"/>
      <c r="H24" s="10"/>
      <c r="I24" s="10"/>
      <c r="J24" s="11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1"/>
      <c r="Y24" s="10" t="s">
        <v>65</v>
      </c>
    </row>
    <row r="25" spans="1:25" x14ac:dyDescent="0.25">
      <c r="A25" s="10" t="s">
        <v>93</v>
      </c>
      <c r="B25" s="10">
        <v>1</v>
      </c>
      <c r="C25" s="10">
        <v>1</v>
      </c>
      <c r="D25" s="10">
        <v>3</v>
      </c>
      <c r="E25" s="10">
        <v>4</v>
      </c>
      <c r="F25" s="10">
        <v>4</v>
      </c>
      <c r="G25" s="10">
        <v>3</v>
      </c>
      <c r="H25" s="10">
        <v>2</v>
      </c>
      <c r="I25" s="10">
        <v>2</v>
      </c>
      <c r="J25" s="11">
        <v>20</v>
      </c>
      <c r="K25" s="10">
        <v>1</v>
      </c>
      <c r="L25" s="10">
        <v>1</v>
      </c>
      <c r="M25" s="10">
        <v>2</v>
      </c>
      <c r="N25" s="10">
        <v>1</v>
      </c>
      <c r="O25" s="10">
        <v>1</v>
      </c>
      <c r="P25" s="10">
        <v>1</v>
      </c>
      <c r="Q25" s="10">
        <v>2</v>
      </c>
      <c r="R25" s="10">
        <v>0</v>
      </c>
      <c r="S25" s="10">
        <v>3</v>
      </c>
      <c r="T25" s="10">
        <v>2</v>
      </c>
      <c r="U25" s="10">
        <v>0</v>
      </c>
      <c r="V25" s="10">
        <v>2</v>
      </c>
      <c r="W25" s="10">
        <v>1</v>
      </c>
      <c r="X25" s="12">
        <v>17</v>
      </c>
      <c r="Y25" s="14" t="s">
        <v>76</v>
      </c>
    </row>
  </sheetData>
  <autoFilter ref="A2:Y25"/>
  <mergeCells count="4">
    <mergeCell ref="B1:J1"/>
    <mergeCell ref="Y1:Y2"/>
    <mergeCell ref="K1:X1"/>
    <mergeCell ref="A1:A2"/>
  </mergeCells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Views>
    <sheetView tabSelected="1" workbookViewId="0">
      <pane xSplit="1" ySplit="2" topLeftCell="B3" activePane="bottomRight" state="frozen"/>
      <selection activeCell="X3" sqref="X3"/>
      <selection pane="topRight" activeCell="X3" sqref="X3"/>
      <selection pane="bottomLeft" activeCell="X3" sqref="X3"/>
      <selection pane="bottomRight" activeCell="A3" sqref="A3:Y12"/>
    </sheetView>
  </sheetViews>
  <sheetFormatPr baseColWidth="10" defaultColWidth="9.140625" defaultRowHeight="15" x14ac:dyDescent="0.25"/>
  <cols>
    <col min="1" max="1" width="28" style="8" customWidth="1"/>
    <col min="2" max="24" width="14" style="8" customWidth="1"/>
    <col min="25" max="25" width="110.85546875" style="8" customWidth="1"/>
  </cols>
  <sheetData>
    <row r="1" spans="1:25" ht="21.95" customHeight="1" x14ac:dyDescent="0.25">
      <c r="A1" s="21" t="s">
        <v>34</v>
      </c>
      <c r="B1" s="17" t="s">
        <v>35</v>
      </c>
      <c r="C1" s="18"/>
      <c r="D1" s="18"/>
      <c r="E1" s="18"/>
      <c r="F1" s="18"/>
      <c r="G1" s="18"/>
      <c r="H1" s="18"/>
      <c r="I1" s="18"/>
      <c r="J1" s="18"/>
      <c r="K1" s="20" t="s">
        <v>36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9" t="s">
        <v>37</v>
      </c>
    </row>
    <row r="2" spans="1:25" ht="54.95" customHeight="1" x14ac:dyDescent="0.25">
      <c r="A2" s="18"/>
      <c r="B2" s="5" t="s">
        <v>38</v>
      </c>
      <c r="C2" s="5" t="s">
        <v>39</v>
      </c>
      <c r="D2" s="5" t="s">
        <v>40</v>
      </c>
      <c r="E2" s="5" t="s">
        <v>41</v>
      </c>
      <c r="F2" s="5" t="s">
        <v>42</v>
      </c>
      <c r="G2" s="5" t="s">
        <v>43</v>
      </c>
      <c r="H2" s="5" t="s">
        <v>44</v>
      </c>
      <c r="I2" s="5" t="s">
        <v>45</v>
      </c>
      <c r="J2" s="7" t="s">
        <v>46</v>
      </c>
      <c r="K2" s="6" t="s">
        <v>47</v>
      </c>
      <c r="L2" s="6" t="s">
        <v>48</v>
      </c>
      <c r="M2" s="6" t="s">
        <v>49</v>
      </c>
      <c r="N2" s="6" t="s">
        <v>50</v>
      </c>
      <c r="O2" s="6" t="s">
        <v>51</v>
      </c>
      <c r="P2" s="6" t="s">
        <v>52</v>
      </c>
      <c r="Q2" s="6" t="s">
        <v>53</v>
      </c>
      <c r="R2" s="6" t="s">
        <v>54</v>
      </c>
      <c r="S2" s="6" t="s">
        <v>55</v>
      </c>
      <c r="T2" s="6" t="s">
        <v>56</v>
      </c>
      <c r="U2" s="6" t="s">
        <v>57</v>
      </c>
      <c r="V2" s="6" t="s">
        <v>58</v>
      </c>
      <c r="W2" s="6" t="s">
        <v>59</v>
      </c>
      <c r="X2" s="9" t="s">
        <v>60</v>
      </c>
      <c r="Y2" s="18"/>
    </row>
    <row r="3" spans="1:25" x14ac:dyDescent="0.25">
      <c r="A3" s="10" t="s">
        <v>94</v>
      </c>
      <c r="B3" s="10">
        <v>0</v>
      </c>
      <c r="C3" s="10">
        <v>0</v>
      </c>
      <c r="D3" s="10">
        <v>3</v>
      </c>
      <c r="E3" s="10">
        <v>4</v>
      </c>
      <c r="F3" s="10">
        <v>4</v>
      </c>
      <c r="G3" s="10">
        <v>3</v>
      </c>
      <c r="H3" s="10">
        <v>2</v>
      </c>
      <c r="I3" s="10">
        <v>0</v>
      </c>
      <c r="J3" s="11">
        <f t="shared" ref="J3:J25" si="0">SUM(B3:I3)</f>
        <v>16</v>
      </c>
      <c r="K3" s="10">
        <v>1</v>
      </c>
      <c r="L3" s="10">
        <v>1</v>
      </c>
      <c r="M3" s="10">
        <v>1</v>
      </c>
      <c r="N3" s="10">
        <v>1</v>
      </c>
      <c r="O3" s="10">
        <v>1</v>
      </c>
      <c r="P3" s="10">
        <v>1</v>
      </c>
      <c r="Q3" s="10">
        <v>2</v>
      </c>
      <c r="R3" s="10">
        <v>0</v>
      </c>
      <c r="S3" s="10">
        <v>3</v>
      </c>
      <c r="T3" s="10">
        <v>2</v>
      </c>
      <c r="U3" s="10">
        <v>2</v>
      </c>
      <c r="V3" s="10">
        <v>2</v>
      </c>
      <c r="W3" s="10">
        <v>1</v>
      </c>
      <c r="X3" s="12">
        <v>18</v>
      </c>
      <c r="Y3" s="13" t="s">
        <v>95</v>
      </c>
    </row>
    <row r="4" spans="1:25" x14ac:dyDescent="0.25">
      <c r="A4" s="10" t="s">
        <v>96</v>
      </c>
      <c r="B4" s="10">
        <v>0</v>
      </c>
      <c r="C4" s="10">
        <v>1</v>
      </c>
      <c r="D4" s="10">
        <v>3</v>
      </c>
      <c r="E4" s="10">
        <v>4</v>
      </c>
      <c r="F4" s="10">
        <v>4</v>
      </c>
      <c r="G4" s="10">
        <v>3</v>
      </c>
      <c r="H4" s="10">
        <v>2</v>
      </c>
      <c r="I4" s="10">
        <v>2</v>
      </c>
      <c r="J4" s="11">
        <f t="shared" si="0"/>
        <v>19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1"/>
      <c r="Y4" s="10" t="s">
        <v>65</v>
      </c>
    </row>
    <row r="5" spans="1:25" x14ac:dyDescent="0.25">
      <c r="A5" s="10" t="s">
        <v>97</v>
      </c>
      <c r="B5" s="10">
        <v>1</v>
      </c>
      <c r="C5" s="10">
        <v>1</v>
      </c>
      <c r="D5" s="10">
        <v>3</v>
      </c>
      <c r="E5" s="10">
        <v>4</v>
      </c>
      <c r="F5" s="10">
        <v>4</v>
      </c>
      <c r="G5" s="10">
        <v>3</v>
      </c>
      <c r="H5" s="10">
        <v>2</v>
      </c>
      <c r="I5" s="10">
        <v>2</v>
      </c>
      <c r="J5" s="11">
        <f t="shared" si="0"/>
        <v>20</v>
      </c>
      <c r="K5" s="10">
        <v>1</v>
      </c>
      <c r="L5" s="10">
        <v>1</v>
      </c>
      <c r="M5" s="10">
        <v>2</v>
      </c>
      <c r="N5" s="10">
        <v>1</v>
      </c>
      <c r="O5" s="10">
        <v>1</v>
      </c>
      <c r="P5" s="10">
        <v>0</v>
      </c>
      <c r="Q5" s="10">
        <v>2</v>
      </c>
      <c r="R5" s="10">
        <v>0</v>
      </c>
      <c r="S5" s="10">
        <v>3</v>
      </c>
      <c r="T5" s="10">
        <v>2</v>
      </c>
      <c r="U5" s="10">
        <v>2</v>
      </c>
      <c r="V5" s="10">
        <v>2</v>
      </c>
      <c r="W5" s="10">
        <v>1</v>
      </c>
      <c r="X5" s="12">
        <v>18</v>
      </c>
      <c r="Y5" s="13" t="s">
        <v>119</v>
      </c>
    </row>
    <row r="6" spans="1:25" x14ac:dyDescent="0.25">
      <c r="A6" s="10" t="s">
        <v>98</v>
      </c>
      <c r="B6" s="10">
        <v>0</v>
      </c>
      <c r="C6" s="10">
        <v>0</v>
      </c>
      <c r="D6" s="10">
        <v>3</v>
      </c>
      <c r="E6" s="10">
        <v>4</v>
      </c>
      <c r="F6" s="10">
        <v>4</v>
      </c>
      <c r="G6" s="10">
        <v>3</v>
      </c>
      <c r="H6" s="10">
        <v>2</v>
      </c>
      <c r="I6" s="10">
        <v>0</v>
      </c>
      <c r="J6" s="11">
        <f t="shared" si="0"/>
        <v>16</v>
      </c>
      <c r="K6" s="10">
        <v>1</v>
      </c>
      <c r="L6" s="10">
        <v>1</v>
      </c>
      <c r="M6" s="10">
        <v>1</v>
      </c>
      <c r="N6" s="10">
        <v>1</v>
      </c>
      <c r="O6" s="10">
        <v>1</v>
      </c>
      <c r="P6" s="10">
        <v>1</v>
      </c>
      <c r="Q6" s="10">
        <v>2</v>
      </c>
      <c r="R6" s="10">
        <v>0</v>
      </c>
      <c r="S6" s="10">
        <v>3</v>
      </c>
      <c r="T6" s="10">
        <v>2</v>
      </c>
      <c r="U6" s="10">
        <v>2</v>
      </c>
      <c r="V6" s="10">
        <v>2</v>
      </c>
      <c r="W6" s="10">
        <v>1</v>
      </c>
      <c r="X6" s="12">
        <v>18</v>
      </c>
      <c r="Y6" s="13" t="s">
        <v>95</v>
      </c>
    </row>
    <row r="7" spans="1:25" x14ac:dyDescent="0.25">
      <c r="A7" s="10" t="s">
        <v>99</v>
      </c>
      <c r="B7" s="10">
        <v>1</v>
      </c>
      <c r="C7" s="10">
        <v>0</v>
      </c>
      <c r="D7" s="10">
        <v>3</v>
      </c>
      <c r="E7" s="10">
        <v>4</v>
      </c>
      <c r="F7" s="10">
        <v>4</v>
      </c>
      <c r="G7" s="10">
        <v>3</v>
      </c>
      <c r="H7" s="10">
        <v>2</v>
      </c>
      <c r="I7" s="10">
        <v>2</v>
      </c>
      <c r="J7" s="11">
        <f t="shared" si="0"/>
        <v>19</v>
      </c>
      <c r="K7" s="10">
        <v>1</v>
      </c>
      <c r="L7" s="10">
        <v>0</v>
      </c>
      <c r="M7" s="10">
        <v>2</v>
      </c>
      <c r="N7" s="10">
        <v>1</v>
      </c>
      <c r="O7" s="10">
        <v>1</v>
      </c>
      <c r="P7" s="10">
        <v>0</v>
      </c>
      <c r="Q7" s="10">
        <v>2</v>
      </c>
      <c r="R7" s="10">
        <v>0</v>
      </c>
      <c r="S7" s="10">
        <v>3</v>
      </c>
      <c r="T7" s="10">
        <v>2</v>
      </c>
      <c r="U7" s="10">
        <v>2</v>
      </c>
      <c r="V7" s="10">
        <v>2</v>
      </c>
      <c r="W7" s="10">
        <v>0</v>
      </c>
      <c r="X7" s="12">
        <v>16</v>
      </c>
      <c r="Y7" s="13" t="s">
        <v>100</v>
      </c>
    </row>
    <row r="8" spans="1:25" x14ac:dyDescent="0.25">
      <c r="A8" s="15" t="s">
        <v>101</v>
      </c>
      <c r="B8" s="10">
        <v>0</v>
      </c>
      <c r="C8" s="10">
        <v>1</v>
      </c>
      <c r="D8" s="10">
        <v>3</v>
      </c>
      <c r="E8" s="10">
        <v>3</v>
      </c>
      <c r="F8" s="10">
        <v>0</v>
      </c>
      <c r="G8" s="10">
        <v>3</v>
      </c>
      <c r="H8" s="10">
        <v>2</v>
      </c>
      <c r="I8" s="10">
        <v>0</v>
      </c>
      <c r="J8" s="11">
        <f t="shared" si="0"/>
        <v>12</v>
      </c>
      <c r="K8" s="10">
        <v>1</v>
      </c>
      <c r="L8" s="10">
        <v>1</v>
      </c>
      <c r="M8" s="10">
        <v>1</v>
      </c>
      <c r="N8" s="10">
        <v>1</v>
      </c>
      <c r="O8" s="10">
        <v>1</v>
      </c>
      <c r="P8" s="10">
        <v>1</v>
      </c>
      <c r="Q8" s="10">
        <v>2</v>
      </c>
      <c r="R8" s="10">
        <v>0</v>
      </c>
      <c r="S8" s="10">
        <v>3</v>
      </c>
      <c r="T8" s="10">
        <v>2</v>
      </c>
      <c r="U8" s="10">
        <v>2</v>
      </c>
      <c r="V8" s="10">
        <v>2</v>
      </c>
      <c r="W8" s="10">
        <v>1</v>
      </c>
      <c r="X8" s="12">
        <v>18</v>
      </c>
      <c r="Y8" s="13" t="s">
        <v>102</v>
      </c>
    </row>
    <row r="9" spans="1:25" x14ac:dyDescent="0.25">
      <c r="A9" s="10" t="s">
        <v>103</v>
      </c>
      <c r="B9" s="10">
        <v>0</v>
      </c>
      <c r="C9" s="10">
        <v>1</v>
      </c>
      <c r="D9" s="10">
        <v>3</v>
      </c>
      <c r="E9" s="10">
        <v>3</v>
      </c>
      <c r="F9" s="10">
        <v>0</v>
      </c>
      <c r="G9" s="10">
        <v>3</v>
      </c>
      <c r="H9" s="10">
        <v>2</v>
      </c>
      <c r="I9" s="10">
        <v>0</v>
      </c>
      <c r="J9" s="11">
        <f t="shared" si="0"/>
        <v>12</v>
      </c>
      <c r="K9" s="10">
        <v>1</v>
      </c>
      <c r="L9" s="10">
        <v>1</v>
      </c>
      <c r="M9" s="10">
        <v>1</v>
      </c>
      <c r="N9" s="10">
        <v>1</v>
      </c>
      <c r="O9" s="10">
        <v>1</v>
      </c>
      <c r="P9" s="10">
        <v>1</v>
      </c>
      <c r="Q9" s="10">
        <v>2</v>
      </c>
      <c r="R9" s="10">
        <v>0</v>
      </c>
      <c r="S9" s="10">
        <v>3</v>
      </c>
      <c r="T9" s="10">
        <v>2</v>
      </c>
      <c r="U9" s="10">
        <v>2</v>
      </c>
      <c r="V9" s="10">
        <v>2</v>
      </c>
      <c r="W9" s="10">
        <v>1</v>
      </c>
      <c r="X9" s="12">
        <v>18</v>
      </c>
      <c r="Y9" s="13" t="s">
        <v>104</v>
      </c>
    </row>
    <row r="10" spans="1:25" x14ac:dyDescent="0.25">
      <c r="A10" s="10" t="s">
        <v>105</v>
      </c>
      <c r="B10" s="10">
        <v>1</v>
      </c>
      <c r="C10" s="10">
        <v>1</v>
      </c>
      <c r="D10" s="10">
        <v>3</v>
      </c>
      <c r="E10" s="10">
        <v>4</v>
      </c>
      <c r="F10" s="10">
        <v>4</v>
      </c>
      <c r="G10" s="10">
        <v>3</v>
      </c>
      <c r="H10" s="10">
        <v>1</v>
      </c>
      <c r="I10" s="10">
        <v>2</v>
      </c>
      <c r="J10" s="11">
        <f t="shared" si="0"/>
        <v>19</v>
      </c>
      <c r="K10" s="10">
        <v>1</v>
      </c>
      <c r="L10" s="10">
        <v>0</v>
      </c>
      <c r="M10" s="10">
        <v>2</v>
      </c>
      <c r="N10" s="10">
        <v>1</v>
      </c>
      <c r="O10" s="10">
        <v>1</v>
      </c>
      <c r="P10" s="10">
        <v>1</v>
      </c>
      <c r="Q10" s="10">
        <v>2</v>
      </c>
      <c r="R10" s="10">
        <v>0</v>
      </c>
      <c r="S10" s="10">
        <v>3</v>
      </c>
      <c r="T10" s="10">
        <v>2</v>
      </c>
      <c r="U10" s="10">
        <v>2</v>
      </c>
      <c r="V10" s="10">
        <v>2</v>
      </c>
      <c r="W10" s="10">
        <v>1</v>
      </c>
      <c r="X10" s="12">
        <v>18</v>
      </c>
      <c r="Y10" s="14" t="s">
        <v>106</v>
      </c>
    </row>
    <row r="11" spans="1:25" x14ac:dyDescent="0.25">
      <c r="A11" s="10" t="s">
        <v>107</v>
      </c>
      <c r="B11" s="10">
        <v>0</v>
      </c>
      <c r="C11" s="10">
        <v>1</v>
      </c>
      <c r="D11" s="10">
        <v>3</v>
      </c>
      <c r="E11" s="10">
        <v>4</v>
      </c>
      <c r="F11" s="10">
        <v>4</v>
      </c>
      <c r="G11" s="10">
        <v>3</v>
      </c>
      <c r="H11" s="10">
        <v>2</v>
      </c>
      <c r="I11" s="10">
        <v>2</v>
      </c>
      <c r="J11" s="11">
        <f t="shared" si="0"/>
        <v>19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1"/>
      <c r="Y11" s="10" t="s">
        <v>65</v>
      </c>
    </row>
    <row r="12" spans="1:25" x14ac:dyDescent="0.25">
      <c r="A12" s="10" t="s">
        <v>108</v>
      </c>
      <c r="B12" s="10">
        <v>1</v>
      </c>
      <c r="C12" s="10">
        <v>1</v>
      </c>
      <c r="D12" s="10">
        <v>3</v>
      </c>
      <c r="E12" s="10">
        <v>4</v>
      </c>
      <c r="F12" s="10">
        <v>4</v>
      </c>
      <c r="G12" s="10">
        <v>3</v>
      </c>
      <c r="H12" s="10">
        <v>2</v>
      </c>
      <c r="I12" s="10">
        <v>2</v>
      </c>
      <c r="J12" s="11">
        <f t="shared" si="0"/>
        <v>20</v>
      </c>
      <c r="K12" s="10">
        <v>1</v>
      </c>
      <c r="L12" s="10">
        <v>0</v>
      </c>
      <c r="M12" s="10">
        <v>2</v>
      </c>
      <c r="N12" s="10">
        <v>1</v>
      </c>
      <c r="O12" s="10">
        <v>1</v>
      </c>
      <c r="P12" s="10">
        <v>1</v>
      </c>
      <c r="Q12" s="10">
        <v>2</v>
      </c>
      <c r="R12" s="10">
        <v>0</v>
      </c>
      <c r="S12" s="10">
        <v>3</v>
      </c>
      <c r="T12" s="10">
        <v>2</v>
      </c>
      <c r="U12" s="10">
        <v>2</v>
      </c>
      <c r="V12" s="10">
        <v>2</v>
      </c>
      <c r="W12" s="10">
        <v>1</v>
      </c>
      <c r="X12" s="12">
        <v>18</v>
      </c>
      <c r="Y12" s="13" t="s">
        <v>109</v>
      </c>
    </row>
    <row r="13" spans="1:25" ht="30" x14ac:dyDescent="0.25">
      <c r="A13" s="10" t="s">
        <v>110</v>
      </c>
      <c r="B13" s="10">
        <v>1</v>
      </c>
      <c r="C13" s="10">
        <v>0</v>
      </c>
      <c r="D13" s="10">
        <v>1</v>
      </c>
      <c r="E13" s="10">
        <v>2</v>
      </c>
      <c r="F13" s="10">
        <v>0</v>
      </c>
      <c r="G13" s="10">
        <v>3</v>
      </c>
      <c r="H13" s="10">
        <v>2</v>
      </c>
      <c r="I13" s="10">
        <v>0</v>
      </c>
      <c r="J13" s="11">
        <f t="shared" si="0"/>
        <v>9</v>
      </c>
      <c r="K13" s="10">
        <v>1</v>
      </c>
      <c r="L13" s="10">
        <v>0</v>
      </c>
      <c r="M13" s="10">
        <v>0</v>
      </c>
      <c r="N13" s="10">
        <v>1</v>
      </c>
      <c r="O13" s="10">
        <v>0</v>
      </c>
      <c r="P13" s="10">
        <v>0</v>
      </c>
      <c r="Q13" s="10">
        <v>0</v>
      </c>
      <c r="R13" s="10">
        <v>1</v>
      </c>
      <c r="S13" s="10">
        <v>2</v>
      </c>
      <c r="T13" s="10">
        <v>0</v>
      </c>
      <c r="U13" s="10">
        <v>0</v>
      </c>
      <c r="V13" s="10">
        <v>2</v>
      </c>
      <c r="W13" s="10">
        <v>1</v>
      </c>
      <c r="X13" s="12">
        <v>8</v>
      </c>
      <c r="Y13" s="13" t="s">
        <v>111</v>
      </c>
    </row>
    <row r="14" spans="1:25" x14ac:dyDescent="0.25">
      <c r="A14" s="10" t="s">
        <v>112</v>
      </c>
      <c r="B14" s="10">
        <v>1</v>
      </c>
      <c r="C14" s="10">
        <v>1</v>
      </c>
      <c r="D14" s="10">
        <v>3</v>
      </c>
      <c r="E14" s="10">
        <v>4</v>
      </c>
      <c r="F14" s="10">
        <v>2</v>
      </c>
      <c r="G14" s="10">
        <v>0</v>
      </c>
      <c r="H14" s="10">
        <v>0</v>
      </c>
      <c r="I14" s="10">
        <v>2</v>
      </c>
      <c r="J14" s="11">
        <f t="shared" si="0"/>
        <v>13</v>
      </c>
      <c r="K14" s="10">
        <v>1</v>
      </c>
      <c r="L14" s="10">
        <v>1</v>
      </c>
      <c r="M14" s="10">
        <v>1</v>
      </c>
      <c r="N14" s="10">
        <v>1</v>
      </c>
      <c r="O14" s="10">
        <v>1</v>
      </c>
      <c r="P14" s="10">
        <v>1</v>
      </c>
      <c r="Q14" s="10">
        <v>2</v>
      </c>
      <c r="R14" s="10">
        <v>0</v>
      </c>
      <c r="S14" s="10">
        <v>3</v>
      </c>
      <c r="T14" s="10">
        <v>2</v>
      </c>
      <c r="U14" s="10">
        <v>2</v>
      </c>
      <c r="V14" s="10">
        <v>2</v>
      </c>
      <c r="W14" s="10">
        <v>1</v>
      </c>
      <c r="X14" s="12">
        <v>18</v>
      </c>
      <c r="Y14" s="13" t="s">
        <v>113</v>
      </c>
    </row>
    <row r="15" spans="1:25" x14ac:dyDescent="0.25">
      <c r="A15" s="10" t="s">
        <v>114</v>
      </c>
      <c r="B15" s="10">
        <v>1</v>
      </c>
      <c r="C15" s="10">
        <v>0</v>
      </c>
      <c r="D15" s="10">
        <v>3</v>
      </c>
      <c r="E15" s="10">
        <v>4</v>
      </c>
      <c r="F15" s="10">
        <v>4</v>
      </c>
      <c r="G15" s="10">
        <v>3</v>
      </c>
      <c r="H15" s="10">
        <v>2</v>
      </c>
      <c r="I15" s="10">
        <v>2</v>
      </c>
      <c r="J15" s="11">
        <f t="shared" si="0"/>
        <v>19</v>
      </c>
      <c r="K15" s="10">
        <v>1</v>
      </c>
      <c r="L15" s="10">
        <v>0</v>
      </c>
      <c r="M15" s="10">
        <v>2</v>
      </c>
      <c r="N15" s="10">
        <v>1</v>
      </c>
      <c r="O15" s="10">
        <v>1</v>
      </c>
      <c r="P15" s="10">
        <v>0</v>
      </c>
      <c r="Q15" s="10">
        <v>2</v>
      </c>
      <c r="R15" s="10">
        <v>0</v>
      </c>
      <c r="S15" s="10">
        <v>3</v>
      </c>
      <c r="T15" s="10">
        <v>2</v>
      </c>
      <c r="U15" s="10">
        <v>2</v>
      </c>
      <c r="V15" s="10">
        <v>2</v>
      </c>
      <c r="W15" s="10">
        <v>0</v>
      </c>
      <c r="X15" s="12">
        <v>16</v>
      </c>
      <c r="Y15" s="13" t="s">
        <v>100</v>
      </c>
    </row>
    <row r="16" spans="1:25" x14ac:dyDescent="0.25">
      <c r="A16" s="10" t="s">
        <v>115</v>
      </c>
      <c r="B16" s="10">
        <v>1</v>
      </c>
      <c r="C16" s="10">
        <v>1</v>
      </c>
      <c r="D16" s="10">
        <v>3</v>
      </c>
      <c r="E16" s="10">
        <v>4</v>
      </c>
      <c r="F16" s="10">
        <v>4</v>
      </c>
      <c r="G16" s="10">
        <v>3</v>
      </c>
      <c r="H16" s="10">
        <v>2</v>
      </c>
      <c r="I16" s="10">
        <v>2</v>
      </c>
      <c r="J16" s="11">
        <f t="shared" si="0"/>
        <v>20</v>
      </c>
      <c r="K16" s="10">
        <v>1</v>
      </c>
      <c r="L16" s="10">
        <v>0</v>
      </c>
      <c r="M16" s="10">
        <v>2</v>
      </c>
      <c r="N16" s="10">
        <v>1</v>
      </c>
      <c r="O16" s="10">
        <v>1</v>
      </c>
      <c r="P16" s="10">
        <v>1</v>
      </c>
      <c r="Q16" s="10">
        <v>2</v>
      </c>
      <c r="R16" s="10">
        <v>0</v>
      </c>
      <c r="S16" s="10">
        <v>3</v>
      </c>
      <c r="T16" s="10">
        <v>2</v>
      </c>
      <c r="U16" s="10">
        <v>2</v>
      </c>
      <c r="V16" s="10">
        <v>2</v>
      </c>
      <c r="W16" s="10">
        <v>1</v>
      </c>
      <c r="X16" s="12">
        <v>18</v>
      </c>
      <c r="Y16" s="13" t="s">
        <v>109</v>
      </c>
    </row>
    <row r="17" spans="1:25" x14ac:dyDescent="0.25">
      <c r="A17" s="10" t="s">
        <v>116</v>
      </c>
      <c r="B17" s="10">
        <v>1</v>
      </c>
      <c r="C17" s="10">
        <v>1</v>
      </c>
      <c r="D17" s="10">
        <v>3</v>
      </c>
      <c r="E17" s="10">
        <v>4</v>
      </c>
      <c r="F17" s="10">
        <v>4</v>
      </c>
      <c r="G17" s="10">
        <v>3</v>
      </c>
      <c r="H17" s="10">
        <v>1</v>
      </c>
      <c r="I17" s="10">
        <v>2</v>
      </c>
      <c r="J17" s="11">
        <f t="shared" si="0"/>
        <v>19</v>
      </c>
      <c r="K17" s="10">
        <v>1</v>
      </c>
      <c r="L17" s="10">
        <v>0</v>
      </c>
      <c r="M17" s="10">
        <v>2</v>
      </c>
      <c r="N17" s="10">
        <v>1</v>
      </c>
      <c r="O17" s="10">
        <v>1</v>
      </c>
      <c r="P17" s="10">
        <v>1</v>
      </c>
      <c r="Q17" s="10">
        <v>2</v>
      </c>
      <c r="R17" s="10">
        <v>0</v>
      </c>
      <c r="S17" s="10">
        <v>3</v>
      </c>
      <c r="T17" s="10">
        <v>2</v>
      </c>
      <c r="U17" s="10">
        <v>2</v>
      </c>
      <c r="V17" s="10">
        <v>2</v>
      </c>
      <c r="W17" s="10">
        <v>1</v>
      </c>
      <c r="X17" s="12">
        <v>18</v>
      </c>
      <c r="Y17" s="14" t="s">
        <v>106</v>
      </c>
    </row>
    <row r="18" spans="1:25" x14ac:dyDescent="0.25">
      <c r="A18" s="15" t="s">
        <v>117</v>
      </c>
      <c r="B18" s="10">
        <v>1</v>
      </c>
      <c r="C18" s="10">
        <v>0</v>
      </c>
      <c r="D18" s="10">
        <v>1</v>
      </c>
      <c r="E18" s="10">
        <v>2</v>
      </c>
      <c r="F18" s="10">
        <v>0</v>
      </c>
      <c r="G18" s="10">
        <v>3</v>
      </c>
      <c r="H18" s="10">
        <v>2</v>
      </c>
      <c r="I18" s="10">
        <v>0</v>
      </c>
      <c r="J18" s="11">
        <f t="shared" si="0"/>
        <v>9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1"/>
      <c r="Y18" s="10" t="s">
        <v>65</v>
      </c>
    </row>
    <row r="19" spans="1:25" x14ac:dyDescent="0.25">
      <c r="A19" s="10" t="s">
        <v>118</v>
      </c>
      <c r="B19" s="10">
        <v>1</v>
      </c>
      <c r="C19" s="10">
        <v>1</v>
      </c>
      <c r="D19" s="10">
        <v>3</v>
      </c>
      <c r="E19" s="10">
        <v>4</v>
      </c>
      <c r="F19" s="10">
        <v>4</v>
      </c>
      <c r="G19" s="10">
        <v>3</v>
      </c>
      <c r="H19" s="10">
        <v>2</v>
      </c>
      <c r="I19" s="10">
        <v>2</v>
      </c>
      <c r="J19" s="11">
        <f t="shared" si="0"/>
        <v>20</v>
      </c>
      <c r="K19" s="10">
        <v>1</v>
      </c>
      <c r="L19" s="10">
        <v>1</v>
      </c>
      <c r="M19" s="10">
        <v>2</v>
      </c>
      <c r="N19" s="10">
        <v>1</v>
      </c>
      <c r="O19" s="10">
        <v>1</v>
      </c>
      <c r="P19" s="10">
        <v>0</v>
      </c>
      <c r="Q19" s="10">
        <v>2</v>
      </c>
      <c r="R19" s="10">
        <v>0</v>
      </c>
      <c r="S19" s="10">
        <v>3</v>
      </c>
      <c r="T19" s="10">
        <v>2</v>
      </c>
      <c r="U19" s="10">
        <v>2</v>
      </c>
      <c r="V19" s="10">
        <v>2</v>
      </c>
      <c r="W19" s="10">
        <v>1</v>
      </c>
      <c r="X19" s="12">
        <v>18</v>
      </c>
      <c r="Y19" s="13" t="s">
        <v>119</v>
      </c>
    </row>
    <row r="20" spans="1:25" ht="30" x14ac:dyDescent="0.25">
      <c r="A20" s="10" t="s">
        <v>120</v>
      </c>
      <c r="B20" s="10">
        <v>1</v>
      </c>
      <c r="C20" s="10">
        <v>0</v>
      </c>
      <c r="D20" s="10">
        <v>3</v>
      </c>
      <c r="E20" s="10">
        <v>4</v>
      </c>
      <c r="F20" s="10">
        <v>4</v>
      </c>
      <c r="G20" s="10">
        <v>3</v>
      </c>
      <c r="H20" s="10">
        <v>2</v>
      </c>
      <c r="I20" s="10">
        <v>2</v>
      </c>
      <c r="J20" s="11">
        <f t="shared" si="0"/>
        <v>19</v>
      </c>
      <c r="K20" s="10">
        <v>1</v>
      </c>
      <c r="L20" s="10">
        <v>1</v>
      </c>
      <c r="M20" s="10">
        <v>2</v>
      </c>
      <c r="N20" s="10">
        <v>0</v>
      </c>
      <c r="O20" s="10">
        <v>0</v>
      </c>
      <c r="P20" s="10">
        <v>0</v>
      </c>
      <c r="Q20" s="10">
        <v>2</v>
      </c>
      <c r="R20" s="10">
        <v>0</v>
      </c>
      <c r="S20" s="10">
        <v>3</v>
      </c>
      <c r="T20" s="10">
        <v>2</v>
      </c>
      <c r="U20" s="10">
        <v>0</v>
      </c>
      <c r="V20" s="10">
        <v>2</v>
      </c>
      <c r="W20" s="10">
        <v>1</v>
      </c>
      <c r="X20" s="12">
        <v>14</v>
      </c>
      <c r="Y20" s="13" t="s">
        <v>121</v>
      </c>
    </row>
    <row r="21" spans="1:25" x14ac:dyDescent="0.25">
      <c r="A21" s="10" t="s">
        <v>122</v>
      </c>
      <c r="B21" s="10">
        <v>1</v>
      </c>
      <c r="C21" s="10">
        <v>1</v>
      </c>
      <c r="D21" s="10">
        <v>3</v>
      </c>
      <c r="E21" s="10">
        <v>4</v>
      </c>
      <c r="F21" s="10">
        <v>4</v>
      </c>
      <c r="G21" s="10">
        <v>3</v>
      </c>
      <c r="H21" s="10">
        <v>2</v>
      </c>
      <c r="I21" s="10">
        <v>0</v>
      </c>
      <c r="J21" s="11">
        <f t="shared" si="0"/>
        <v>18</v>
      </c>
      <c r="K21" s="10">
        <v>1</v>
      </c>
      <c r="L21" s="10">
        <v>1</v>
      </c>
      <c r="M21" s="10">
        <v>2</v>
      </c>
      <c r="N21" s="10">
        <v>1</v>
      </c>
      <c r="O21" s="10">
        <v>1</v>
      </c>
      <c r="P21" s="10">
        <v>1</v>
      </c>
      <c r="Q21" s="10">
        <v>2</v>
      </c>
      <c r="R21" s="10">
        <v>0</v>
      </c>
      <c r="S21" s="10">
        <v>3</v>
      </c>
      <c r="T21" s="10">
        <v>2</v>
      </c>
      <c r="U21" s="10">
        <v>2</v>
      </c>
      <c r="V21" s="10">
        <v>2</v>
      </c>
      <c r="W21" s="10">
        <v>0</v>
      </c>
      <c r="X21" s="12">
        <v>18</v>
      </c>
      <c r="Y21" s="13" t="s">
        <v>123</v>
      </c>
    </row>
    <row r="22" spans="1:25" x14ac:dyDescent="0.25">
      <c r="A22" s="10" t="s">
        <v>124</v>
      </c>
      <c r="B22" s="10">
        <v>1</v>
      </c>
      <c r="C22" s="10">
        <v>1</v>
      </c>
      <c r="D22" s="10">
        <v>3</v>
      </c>
      <c r="E22" s="10">
        <v>4</v>
      </c>
      <c r="F22" s="10">
        <v>2</v>
      </c>
      <c r="G22" s="10">
        <v>0</v>
      </c>
      <c r="H22" s="10">
        <v>0</v>
      </c>
      <c r="I22" s="10">
        <v>2</v>
      </c>
      <c r="J22" s="11">
        <f t="shared" si="0"/>
        <v>13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1"/>
      <c r="Y22" s="10" t="s">
        <v>65</v>
      </c>
    </row>
    <row r="23" spans="1:25" x14ac:dyDescent="0.25">
      <c r="A23" s="10" t="s">
        <v>125</v>
      </c>
      <c r="B23" s="10">
        <v>1</v>
      </c>
      <c r="C23" s="10">
        <v>1</v>
      </c>
      <c r="D23" s="10">
        <v>3</v>
      </c>
      <c r="E23" s="10">
        <v>4</v>
      </c>
      <c r="F23" s="10">
        <v>4</v>
      </c>
      <c r="G23" s="10">
        <v>3</v>
      </c>
      <c r="H23" s="10">
        <v>2</v>
      </c>
      <c r="I23" s="10">
        <v>0</v>
      </c>
      <c r="J23" s="11">
        <f t="shared" si="0"/>
        <v>18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1"/>
      <c r="Y23" s="10" t="s">
        <v>65</v>
      </c>
    </row>
    <row r="24" spans="1:25" x14ac:dyDescent="0.25">
      <c r="A24" s="10" t="s">
        <v>126</v>
      </c>
      <c r="B24" s="10">
        <v>1</v>
      </c>
      <c r="C24" s="10">
        <v>0</v>
      </c>
      <c r="D24" s="10">
        <v>0</v>
      </c>
      <c r="E24" s="10">
        <v>4</v>
      </c>
      <c r="F24" s="10">
        <v>4</v>
      </c>
      <c r="G24" s="10">
        <v>3</v>
      </c>
      <c r="H24" s="10">
        <v>2</v>
      </c>
      <c r="I24" s="10">
        <v>2</v>
      </c>
      <c r="J24" s="11">
        <f t="shared" si="0"/>
        <v>16</v>
      </c>
      <c r="K24" s="10">
        <v>1</v>
      </c>
      <c r="L24" s="10">
        <v>1</v>
      </c>
      <c r="M24" s="10">
        <v>1</v>
      </c>
      <c r="N24" s="10">
        <v>1</v>
      </c>
      <c r="O24" s="10">
        <v>1</v>
      </c>
      <c r="P24" s="10">
        <v>1</v>
      </c>
      <c r="Q24" s="10">
        <v>2</v>
      </c>
      <c r="R24" s="10">
        <v>0</v>
      </c>
      <c r="S24" s="10">
        <v>3</v>
      </c>
      <c r="T24" s="10">
        <v>2</v>
      </c>
      <c r="U24" s="10">
        <v>2</v>
      </c>
      <c r="V24" s="10">
        <v>2</v>
      </c>
      <c r="W24" s="10">
        <v>1</v>
      </c>
      <c r="X24" s="12">
        <v>18</v>
      </c>
      <c r="Y24" s="13" t="s">
        <v>127</v>
      </c>
    </row>
    <row r="25" spans="1:25" x14ac:dyDescent="0.25">
      <c r="A25" s="10" t="s">
        <v>128</v>
      </c>
      <c r="B25" s="10">
        <v>1</v>
      </c>
      <c r="C25" s="10">
        <v>0</v>
      </c>
      <c r="D25" s="10">
        <v>3</v>
      </c>
      <c r="E25" s="10">
        <v>4</v>
      </c>
      <c r="F25" s="10">
        <v>4</v>
      </c>
      <c r="G25" s="10">
        <v>3</v>
      </c>
      <c r="H25" s="10">
        <v>2</v>
      </c>
      <c r="I25" s="10">
        <v>2</v>
      </c>
      <c r="J25" s="11">
        <f t="shared" si="0"/>
        <v>19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1"/>
      <c r="Y25" s="10" t="s">
        <v>65</v>
      </c>
    </row>
  </sheetData>
  <autoFilter ref="A2:Y25"/>
  <mergeCells count="4">
    <mergeCell ref="B1:J1"/>
    <mergeCell ref="Y1:Y2"/>
    <mergeCell ref="K1:X1"/>
    <mergeCell ref="A1:A2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Barème</vt:lpstr>
      <vt:lpstr>1ère STI2D 1</vt:lpstr>
      <vt:lpstr>1ère STI2D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hadot</cp:lastModifiedBy>
  <dcterms:created xsi:type="dcterms:W3CDTF">2026-10-25T11:29:43Z</dcterms:created>
  <dcterms:modified xsi:type="dcterms:W3CDTF">2026-10-25T13:46:26Z</dcterms:modified>
</cp:coreProperties>
</file>